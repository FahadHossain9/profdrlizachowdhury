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mages" sheetId="2" state="visible" r:id="rId4"/>
    <sheet name="Vide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<sst xmlns="http://schemas.openxmlformats.org/spreadsheetml/2006/main" count="295" uniqueCount="212">
  <si>
    <t xml:space="preserve">Dr. Liza Chowdhury Website — Media Asset Analysis</t>
  </si>
  <si>
    <t xml:space="preserve">Source folder: 'liza mam picture And uttar fertility center image and videos'  |  Prepared for the Vite + React build (public/ folder decisions)</t>
  </si>
  <si>
    <t xml:space="preserve">Purpose</t>
  </si>
  <si>
    <t xml:space="preserve">For each asset: file size, dimensions, condition, what it shows, what its quality emphasises, and whether it should be copied into the Vite project's public/ folder for the website.</t>
  </si>
  <si>
    <t xml:space="preserve">How to use</t>
  </si>
  <si>
    <t xml:space="preserve">Open the 'Images' tab for the 14 photos and the 'Videos' tab for the 8 clips. The 'Suggested for Website' column is colour-coded. The 'Copy to /public?' column is the direct instruction for Claude Code.</t>
  </si>
  <si>
    <t xml:space="preserve">Colour legend</t>
  </si>
  <si>
    <t xml:space="preserve">GREEN = Yes, recommended   |   YELLOW = Maybe / use with editing or as secondary   |   RED = No, do not use on site.</t>
  </si>
  <si>
    <t xml:space="preserve">Key context (from production spec)</t>
  </si>
  <si>
    <t xml:space="preserve">Personal IVF &amp; fertility practice. Brand colour = purple. Warm, dignified, no stock photography. Spec §5.1 still recommends a dedicated production photo shoot for formal white-coat hero portraits.</t>
  </si>
  <si>
    <t xml:space="preserve">Important — HEIC</t>
  </si>
  <si>
    <t xml:space="preserve">The 5 IMG_xxxx.HEIC files are NOT supported by web browsers. They MUST be converted to JPEG or WebP before being placed in public/. Their high resolution (3024x4032) makes them the best source files.</t>
  </si>
  <si>
    <t xml:space="preserve">Important — Videos</t>
  </si>
  <si>
    <t xml:space="preserve">All clips are raw 720p WhatsApp exports (total ~74 MB). Do NOT drop raw files into public/. Transcode/compress (MP4 H.264 + WebM), trim, and serve as muted loops or via a gallery — or host externally.</t>
  </si>
  <si>
    <t xml:space="preserve">Strongest assets</t>
  </si>
  <si>
    <t xml:space="preserve">The Uttara Fertility Centre reception set (IMG_4858, IMG_4859, IMG_4856, IMG_4857, IMG_4860 and W07) — they show Madam in her own clinic with the purple UFCL branding. The 8 lab videos are excellent B-roll for the Laboratory page.</t>
  </si>
  <si>
    <t xml:space="preserve">Quick counts (images)</t>
  </si>
  <si>
    <t xml:space="preserve">Recommended (Yes)</t>
  </si>
  <si>
    <t xml:space="preserve">Maybe / secondary</t>
  </si>
  <si>
    <t xml:space="preserve">Not suggested (No)</t>
  </si>
  <si>
    <t xml:space="preserve">Total images</t>
  </si>
  <si>
    <t xml:space="preserve">File Name</t>
  </si>
  <si>
    <t xml:space="preserve">Format</t>
  </si>
  <si>
    <t xml:space="preserve">File Size</t>
  </si>
  <si>
    <t xml:space="preserve">Dimensions (px)</t>
  </si>
  <si>
    <t xml:space="preserve">Orientation</t>
  </si>
  <si>
    <t xml:space="preserve">Subject / Description</t>
  </si>
  <si>
    <t xml:space="preserve">Image Condition</t>
  </si>
  <si>
    <t xml:space="preserve">Quality Focus / Emphasis</t>
  </si>
  <si>
    <t xml:space="preserve">Best Use (page)</t>
  </si>
  <si>
    <t xml:space="preserve">Suggested for Website</t>
  </si>
  <si>
    <t xml:space="preserve">Copy to /public?</t>
  </si>
  <si>
    <t xml:space="preserve">Notes / Action for Claude Code</t>
  </si>
  <si>
    <t xml:space="preserve">WhatsApp Image ...11.57.16.jpeg</t>
  </si>
  <si>
    <t xml:space="preserve">JPEG</t>
  </si>
  <si>
    <t xml:space="preserve">380 KB</t>
  </si>
  <si>
    <t xml:space="preserve">1200 x 1600</t>
  </si>
  <si>
    <t xml:space="preserve">Portrait</t>
  </si>
  <si>
    <t xml:space="preserve">Full-length, Madam in blue/green saree + green hijab standing in her office/chamber.</t>
  </si>
  <si>
    <t xml:space="preserve">Sharp; flat fluorescent light; background very cluttered (loose papers, sofas, water bottle, remote).</t>
  </si>
  <si>
    <t xml:space="preserve">Shows full attire/presence but environment is messy.</t>
  </si>
  <si>
    <t xml:space="preserve">About (candid only)</t>
  </si>
  <si>
    <t xml:space="preserve">No</t>
  </si>
  <si>
    <t xml:space="preserve">No — cluttered background looks unprofessional. Skip unless heavily retouched/cropped.</t>
  </si>
  <si>
    <t xml:space="preserve">WhatsApp Image ...11.57.16 (1).jpeg</t>
  </si>
  <si>
    <t xml:space="preserve">416 KB</t>
  </si>
  <si>
    <t xml:space="preserve">1600 x 1200</t>
  </si>
  <si>
    <t xml:space="preserve">Landscape</t>
  </si>
  <si>
    <t xml:space="preserve">Waist-up portrait, green outfit, outdoors by a modern building with green plants.</t>
  </si>
  <si>
    <t xml:space="preserve">Good sharpness, pleasant warm natural light, looking at camera, mildly busy background.</t>
  </si>
  <si>
    <t xml:space="preserve">Warm, approachable face; the only landscape image (good for banners).</t>
  </si>
  <si>
    <t xml:space="preserve">About / quote band / banner</t>
  </si>
  <si>
    <t xml:space="preserve">Yes</t>
  </si>
  <si>
    <t xml:space="preserve">Yes — optimise to JPEG/WebP (~1600px). Good warm secondary portrait; landscape suits hero banners.</t>
  </si>
  <si>
    <t xml:space="preserve">WhatsApp Image ...11.57.16 (2).jpeg</t>
  </si>
  <si>
    <t xml:space="preserve">388 KB</t>
  </si>
  <si>
    <t xml:space="preserve">Seated on a round wicker sofa in a mall/hotel lobby, pink hijab, handbag on floor.</t>
  </si>
  <si>
    <t xml:space="preserve">Acceptable sharpness; dim ambient lobby light; personal/casual setting.</t>
  </si>
  <si>
    <t xml:space="preserve">Relaxed but clearly a personal snapshot.</t>
  </si>
  <si>
    <t xml:space="preserve">—</t>
  </si>
  <si>
    <t xml:space="preserve">No — too personal/casual (handbag, lounge). Not on-brand for a clinical practice site.</t>
  </si>
  <si>
    <t xml:space="preserve">WhatsApp Image ...11.57.16 (3).jpeg</t>
  </si>
  <si>
    <t xml:space="preserve">228 KB</t>
  </si>
  <si>
    <t xml:space="preserve">720 x 1600</t>
  </si>
  <si>
    <t xml:space="preserve">Portrait (very tall)</t>
  </si>
  <si>
    <t xml:space="preserve">Full-length, bright blue saree, standing in a domestic living room.</t>
  </si>
  <si>
    <t xml:space="preserve">Reasonably sharp; home setting (sofa, curtains, rug); awkward 9:20 crop.</t>
  </si>
  <si>
    <t xml:space="preserve">Outfit visible; home backdrop unsuitable.</t>
  </si>
  <si>
    <t xml:space="preserve">No — home/domestic background and narrow crop. Not suitable.</t>
  </si>
  <si>
    <t xml:space="preserve">WhatsApp Image ...11.57.16 (4).jpeg</t>
  </si>
  <si>
    <t xml:space="preserve">316 KB</t>
  </si>
  <si>
    <t xml:space="preserve">900 x 1600</t>
  </si>
  <si>
    <t xml:space="preserve">Seated at a panel table at the Hepatology Society Dhaka international conference (name placard, blue backdrop).</t>
  </si>
  <si>
    <t xml:space="preserve">Slightly soft; mixed event lighting; conference backdrop legible.</t>
  </si>
  <si>
    <t xml:space="preserve">Emphasises academic standing / speaker authority.</t>
  </si>
  <si>
    <t xml:space="preserve">About / Credentials / Teaching</t>
  </si>
  <si>
    <t xml:space="preserve">Maybe</t>
  </si>
  <si>
    <t xml:space="preserve">Maybe — useful as proof of academic stature. Crop tighter; quality is event-grade, use as secondary.</t>
  </si>
  <si>
    <t xml:space="preserve">WhatsApp Image ...11.57.25.jpeg</t>
  </si>
  <si>
    <t xml:space="preserve">392 KB</t>
  </si>
  <si>
    <t xml:space="preserve">1206 x 1600</t>
  </si>
  <si>
    <t xml:space="preserve">Standing at an event in front of a green foliage wall with a neon 'Blooms of...' sign, wearing a conference lanyard.</t>
  </si>
  <si>
    <t xml:space="preserve">Sharp, good light; decorative (non-clinical) backdrop; lanyard visible.</t>
  </si>
  <si>
    <t xml:space="preserve">Conveys active conference/event participation.</t>
  </si>
  <si>
    <t xml:space="preserve">About / events / croppable portrait</t>
  </si>
  <si>
    <t xml:space="preserve">Maybe — pleasant; crop out neon/lanyard for a cleaner portrait. Secondary use.</t>
  </si>
  <si>
    <t xml:space="preserve">WhatsApp Image ...11.57.46.jpeg</t>
  </si>
  <si>
    <t xml:space="preserve">512 KB</t>
  </si>
  <si>
    <t xml:space="preserve">1208 x 1600</t>
  </si>
  <si>
    <t xml:space="preserve">Standing at the Uttara Fertility Centre reception; purple curtains and purple UFCL logo on the desk.</t>
  </si>
  <si>
    <t xml:space="preserve">Sharp; bright clinical lighting; background is her real clinic (on-brand).</t>
  </si>
  <si>
    <t xml:space="preserve">Doctor-in-her-clinic + purple brand colour present.</t>
  </si>
  <si>
    <t xml:space="preserve">About / UFCL chamber page</t>
  </si>
  <si>
    <t xml:space="preserve">Yes — on-brand (purple, real clinic). Optimise to JPEG/WebP. Lower-res twin of the IMG_4856-60 HEIC set.</t>
  </si>
  <si>
    <t xml:space="preserve">WhatsApp Image ...11.57.46 (1).jpeg</t>
  </si>
  <si>
    <t xml:space="preserve">176 KB</t>
  </si>
  <si>
    <t xml:space="preserve">Full-length in front of a 'Safe Motherhood and Fistula Day' seminar stage (purple dais).</t>
  </si>
  <si>
    <t xml:space="preserve">Acceptable; bright stage lighting; full-length with some stage clutter.</t>
  </si>
  <si>
    <t xml:space="preserve">Community / maternal-health advocacy presence.</t>
  </si>
  <si>
    <t xml:space="preserve">About / Credentials / community</t>
  </si>
  <si>
    <t xml:space="preserve">Maybe — relevant theme (women's health). Event-grade quality; secondary use only.</t>
  </si>
  <si>
    <t xml:space="preserve">WhatsApp Image ...11.57.46 (2).jpeg</t>
  </si>
  <si>
    <t xml:space="preserve">152 KB</t>
  </si>
  <si>
    <t xml:space="preserve">545 x 1310</t>
  </si>
  <si>
    <t xml:space="preserve">Same seminar, smiling and holding flowers.</t>
  </si>
  <si>
    <t xml:space="preserve">Warm smile but low resolution and very narrow 5:12 crop; near-duplicate of the previous.</t>
  </si>
  <si>
    <t xml:space="preserve">Warm expression; resolution/crop limit use.</t>
  </si>
  <si>
    <t xml:space="preserve">No — low res and awkward narrow crop. Duplicate of the better stage shot.</t>
  </si>
  <si>
    <t xml:space="preserve">IMG_4856.HEIC</t>
  </si>
  <si>
    <t xml:space="preserve">HEIC</t>
  </si>
  <si>
    <t xml:space="preserve">2.6 MB</t>
  </si>
  <si>
    <t xml:space="preserve">3024 x 4032</t>
  </si>
  <si>
    <t xml:space="preserve">Full-length at the UFCL reception with the FULL 'Uttara Fertility Centre — A Centre for...' purple logo clearly visible.</t>
  </si>
  <si>
    <t xml:space="preserve">Sharp, high resolution; bright clinical light; some signage/shelf clutter behind.</t>
  </si>
  <si>
    <t xml:space="preserve">Strongest brand statement — doctor in her own fertility centre, full purple logo.</t>
  </si>
  <si>
    <t xml:space="preserve">About hero (candid) / UFCL chamber</t>
  </si>
  <si>
    <t xml:space="preserve">Yes — CONVERT HEIC→JPEG/WebP first (browsers can't show HEIC). High-res source ideal for large use.</t>
  </si>
  <si>
    <t xml:space="preserve">IMG_4857.HEIC</t>
  </si>
  <si>
    <t xml:space="preserve">2.5 MB</t>
  </si>
  <si>
    <t xml:space="preserve">Three-quarter at the UFCL desk, holding a phone, purple logo visible.</t>
  </si>
  <si>
    <t xml:space="preserve">Sharp, high resolution; phone in hand is slightly distracting.</t>
  </si>
  <si>
    <t xml:space="preserve">On-brand clinic context; phone weakens the framing.</t>
  </si>
  <si>
    <t xml:space="preserve">UFCL chamber (alternate)</t>
  </si>
  <si>
    <t xml:space="preserve">Maybe — good alternate but phone-in-hand is less polished. Prefer 4858/4859. Convert before use.</t>
  </si>
  <si>
    <t xml:space="preserve">IMG_4858.HEIC</t>
  </si>
  <si>
    <t xml:space="preserve">2.9 MB</t>
  </si>
  <si>
    <t xml:space="preserve">At the UFCL desk, hands clasped, warm relaxed smile, purple logo visible.</t>
  </si>
  <si>
    <t xml:space="preserve">Sharp, high resolution, warm and natural expression — best of the clinic set.</t>
  </si>
  <si>
    <t xml:space="preserve">Warmth + authority + brand all in one frame.</t>
  </si>
  <si>
    <t xml:space="preserve">About hero (candid) / homepage</t>
  </si>
  <si>
    <t xml:space="preserve">Yes — TOP PICK. Convert HEIC→JPEG/WebP; generate hero + thumbnail sizes.</t>
  </si>
  <si>
    <t xml:space="preserve">IMG_4859.HEIC</t>
  </si>
  <si>
    <t xml:space="preserve">At the UFCL desk, leaning slightly, warm smile, purple logo visible.</t>
  </si>
  <si>
    <t xml:space="preserve">Sharp, high resolution, warm; near-duplicate of IMG_4858.</t>
  </si>
  <si>
    <t xml:space="preserve">Same strengths as 4858; alternate pose.</t>
  </si>
  <si>
    <t xml:space="preserve">About / UFCL chamber (alternate)</t>
  </si>
  <si>
    <t xml:space="preserve">Yes (alternate) — convert and keep as a second option. Pick one of 4858/4859 to avoid duplicates.</t>
  </si>
  <si>
    <t xml:space="preserve">IMG_4860.HEIC</t>
  </si>
  <si>
    <t xml:space="preserve">2.8 MB</t>
  </si>
  <si>
    <t xml:space="preserve">At the UFCL desk, similar relaxed pose; purple UFCL logo at lower right.</t>
  </si>
  <si>
    <t xml:space="preserve">Sharp, high resolution, warm; near-duplicate of 4858/4859.</t>
  </si>
  <si>
    <t xml:space="preserve">Same on-brand clinic strengths.</t>
  </si>
  <si>
    <t xml:space="preserve">Maybe — strong but redundant with 4858/4859. Convert only if a third variant is needed.</t>
  </si>
  <si>
    <t xml:space="preserve">Resolution</t>
  </si>
  <si>
    <t xml:space="preserve">Duration</t>
  </si>
  <si>
    <t xml:space="preserve">Content / Description</t>
  </si>
  <si>
    <t xml:space="preserve">Condition</t>
  </si>
  <si>
    <t xml:space="preserve">Quality Focus</t>
  </si>
  <si>
    <t xml:space="preserve">Suggested (content)</t>
  </si>
  <si>
    <t xml:space="preserve">Copy raw to /public?</t>
  </si>
  <si>
    <t xml:space="preserve">WhatsApp Video ...11.56.07.mp4</t>
  </si>
  <si>
    <t xml:space="preserve">MP4 (H.264)</t>
  </si>
  <si>
    <t xml:space="preserve">6.4 MB</t>
  </si>
  <si>
    <t xml:space="preserve">1280 x 720</t>
  </si>
  <si>
    <t xml:space="preserve">0:22</t>
  </si>
  <si>
    <t xml:space="preserve">Close-up of the Nikon stereo microscope used in the embryology lab.</t>
  </si>
  <si>
    <t xml:space="preserve">Steady, well-lit; handheld phone footage; 720p.</t>
  </si>
  <si>
    <t xml:space="preserve">Real ART lab equipment detail.</t>
  </si>
  <si>
    <t xml:space="preserve">Laboratory page</t>
  </si>
  <si>
    <t xml:space="preserve">No (not raw)</t>
  </si>
  <si>
    <t xml:space="preserve">Trim + compress (MP4+WebM). Great B-roll matching the spec's lab-equipment requirement.</t>
  </si>
  <si>
    <t xml:space="preserve">WhatsApp Video ...11.56.18 (1).mp4</t>
  </si>
  <si>
    <t xml:space="preserve">7.2 MB</t>
  </si>
  <si>
    <t xml:space="preserve">0:25</t>
  </si>
  <si>
    <t xml:space="preserve">Walk past the UFCL IPD corridor — purple branding wall and patient lockers.</t>
  </si>
  <si>
    <t xml:space="preserve">Handheld pan; adequate light; 720p.</t>
  </si>
  <si>
    <t xml:space="preserve">Facility branding + interior context.</t>
  </si>
  <si>
    <t xml:space="preserve">Laboratory / UFCL chamber</t>
  </si>
  <si>
    <t xml:space="preserve">Compress + stabilise. Good interior context clip.</t>
  </si>
  <si>
    <t xml:space="preserve">WhatsApp Video ...11.56.18.mp4</t>
  </si>
  <si>
    <t xml:space="preserve">9.3 MB</t>
  </si>
  <si>
    <t xml:space="preserve">0:32</t>
  </si>
  <si>
    <t xml:space="preserve">The ESCO CelCulture CO2 Incubator (named on the unit).</t>
  </si>
  <si>
    <t xml:space="preserve">Steady close framing; 720p.</t>
  </si>
  <si>
    <t xml:space="preserve">Named, premium ART equipment — strong trust signal.</t>
  </si>
  <si>
    <t xml:space="preserve">Compress; pair with copy about the Esco incubator from the spec.</t>
  </si>
  <si>
    <t xml:space="preserve">WhatsApp Video ...11.56.23 (1).mp4</t>
  </si>
  <si>
    <t xml:space="preserve">0:10</t>
  </si>
  <si>
    <t xml:space="preserve">ESCO equipment with a digital control display.</t>
  </si>
  <si>
    <t xml:space="preserve">Short, steady; 720p.</t>
  </si>
  <si>
    <t xml:space="preserve">Equipment detail / tech credibility.</t>
  </si>
  <si>
    <t xml:space="preserve">Short — good as a looping detail clip after compression.</t>
  </si>
  <si>
    <t xml:space="preserve">WhatsApp Video ...11.56.23 (2).mp4</t>
  </si>
  <si>
    <t xml:space="preserve">4.8 MB</t>
  </si>
  <si>
    <t xml:space="preserve">0:16</t>
  </si>
  <si>
    <t xml:space="preserve">ESCO MIRI workstation digital readout.</t>
  </si>
  <si>
    <t xml:space="preserve">Steady close-up; 720p.</t>
  </si>
  <si>
    <t xml:space="preserve">The ISO/MIRI ART workstation referenced in the spec.</t>
  </si>
  <si>
    <t xml:space="preserve">Compress; directly supports the lab-spec narrative (Esco MIRI / ART workstation).</t>
  </si>
  <si>
    <t xml:space="preserve">WhatsApp Video ...11.56.23.mp4</t>
  </si>
  <si>
    <t xml:space="preserve">15.0 MB</t>
  </si>
  <si>
    <t xml:space="preserve">0:51</t>
  </si>
  <si>
    <t xml:space="preserve">Longer walkthrough including the purple 'IVF LAB' signage / lab area.</t>
  </si>
  <si>
    <t xml:space="preserve">Handheld pan; 720p; longest of the set.</t>
  </si>
  <si>
    <t xml:space="preserve">Overall lab tour + branding.</t>
  </si>
  <si>
    <t xml:space="preserve">Laboratory page (feature)</t>
  </si>
  <si>
    <t xml:space="preserve">Trim to the best 10-20s, compress heavily (15 MB is large for web).</t>
  </si>
  <si>
    <t xml:space="preserve">WhatsApp Video ...11.56.24.mp4</t>
  </si>
  <si>
    <t xml:space="preserve">8.7 MB</t>
  </si>
  <si>
    <t xml:space="preserve">0:30</t>
  </si>
  <si>
    <t xml:space="preserve">The 'OT / Operation Theatre' and 'IVF LAB' signage / corridor.</t>
  </si>
  <si>
    <t xml:space="preserve">Handheld pan; 720p.</t>
  </si>
  <si>
    <t xml:space="preserve">Surgical + lab facilities (OT, IVF).</t>
  </si>
  <si>
    <t xml:space="preserve">Laboratory / treatments</t>
  </si>
  <si>
    <t xml:space="preserve">Compress; supports laparoscopy/hysteroscopy + lab pages.</t>
  </si>
  <si>
    <t xml:space="preserve">WhatsApp Video ...11.56.25.mp4</t>
  </si>
  <si>
    <t xml:space="preserve">17.0 MB</t>
  </si>
  <si>
    <t xml:space="preserve">0:58</t>
  </si>
  <si>
    <t xml:space="preserve">'IVF LAB' / 'Entry Restricted' glass doors and lab entrance.</t>
  </si>
  <si>
    <t xml:space="preserve">Handheld; 720p; largest file.</t>
  </si>
  <si>
    <t xml:space="preserve">Sterile/controlled-access lab — credibility cue.</t>
  </si>
  <si>
    <t xml:space="preserve">Trim + compress hard (17 MB too big for public/). Strong entrance hero clip when shortened.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</si>
</sst>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B2A8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5B2A8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B2A86"/>
        <bgColor rgb="FF660066"/>
      </patternFill>
    </fill>
    <fill>
      <patternFill patternType="solid">
        <fgColor rgb="FFFFC7CE"/>
        <bgColor rgb="FFD9D9D9"/>
      </patternFill>
    </fill>
    <fill>
      <patternFill patternType="solid">
        <fgColor rgb="FFEDE6F4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EDE6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6F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5B2A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  <c r="G4" s="4"/>
      <c r="H4" s="4"/>
    </row>
    <row r="6" customFormat="false" ht="23.85" hidden="false" customHeight="true" outlineLevel="0" collapsed="false">
      <c r="A6" s="3" t="s">
        <v>4</v>
      </c>
      <c r="B6" s="4" t="s">
        <v>5</v>
      </c>
      <c r="C6" s="4"/>
      <c r="D6" s="4"/>
      <c r="E6" s="4"/>
      <c r="F6" s="4"/>
      <c r="G6" s="4"/>
      <c r="H6" s="4"/>
    </row>
    <row r="8" customFormat="false" ht="15" hidden="false" customHeight="true" outlineLevel="0" collapsed="false">
      <c r="A8" s="3" t="s">
        <v>6</v>
      </c>
      <c r="B8" s="4" t="s">
        <v>7</v>
      </c>
      <c r="C8" s="4"/>
      <c r="D8" s="4"/>
      <c r="E8" s="4"/>
      <c r="F8" s="4"/>
      <c r="G8" s="4"/>
      <c r="H8" s="4"/>
    </row>
    <row r="10" customFormat="false" ht="23.85" hidden="false" customHeight="true" outlineLevel="0" collapsed="false">
      <c r="A10" s="3" t="s">
        <v>8</v>
      </c>
      <c r="B10" s="4" t="s">
        <v>9</v>
      </c>
      <c r="C10" s="4"/>
      <c r="D10" s="4"/>
      <c r="E10" s="4"/>
      <c r="F10" s="4"/>
      <c r="G10" s="4"/>
      <c r="H10" s="4"/>
    </row>
    <row r="12" customFormat="false" ht="23.85" hidden="false" customHeight="true" outlineLevel="0" collapsed="false">
      <c r="A12" s="3" t="s">
        <v>10</v>
      </c>
      <c r="B12" s="4" t="s">
        <v>11</v>
      </c>
      <c r="C12" s="4"/>
      <c r="D12" s="4"/>
      <c r="E12" s="4"/>
      <c r="F12" s="4"/>
      <c r="G12" s="4"/>
      <c r="H12" s="4"/>
    </row>
    <row r="14" customFormat="false" ht="23.85" hidden="false" customHeight="true" outlineLevel="0" collapsed="false">
      <c r="A14" s="3" t="s">
        <v>12</v>
      </c>
      <c r="B14" s="4" t="s">
        <v>13</v>
      </c>
      <c r="C14" s="4"/>
      <c r="D14" s="4"/>
      <c r="E14" s="4"/>
      <c r="F14" s="4"/>
      <c r="G14" s="4"/>
      <c r="H14" s="4"/>
    </row>
    <row r="16" customFormat="false" ht="23.85" hidden="false" customHeight="true" outlineLevel="0" collapsed="false">
      <c r="A16" s="3" t="s">
        <v>14</v>
      </c>
      <c r="B16" s="4" t="s">
        <v>15</v>
      </c>
      <c r="C16" s="4"/>
      <c r="D16" s="4"/>
      <c r="E16" s="4"/>
      <c r="F16" s="4"/>
      <c r="G16" s="4"/>
      <c r="H16" s="4"/>
    </row>
    <row r="19" customFormat="false" ht="15" hidden="false" customHeight="false" outlineLevel="0" collapsed="false">
      <c r="A19" s="5" t="s">
        <v>16</v>
      </c>
    </row>
    <row r="20" customFormat="false" ht="15" hidden="false" customHeight="false" outlineLevel="0" collapsed="false">
      <c r="A20" s="6" t="s">
        <v>17</v>
      </c>
      <c r="B20" s="7" t="n">
        <f aca="false">COUNTIF(Images!J:J,"Yes*")</f>
        <v>5</v>
      </c>
    </row>
    <row r="21" customFormat="false" ht="15" hidden="false" customHeight="false" outlineLevel="0" collapsed="false">
      <c r="A21" s="6" t="s">
        <v>18</v>
      </c>
      <c r="B21" s="7" t="n">
        <f aca="false">COUNTIF(Images!J:J,"Maybe*")</f>
        <v>5</v>
      </c>
    </row>
    <row r="22" customFormat="false" ht="15" hidden="false" customHeight="false" outlineLevel="0" collapsed="false">
      <c r="A22" s="6" t="s">
        <v>19</v>
      </c>
      <c r="B22" s="7" t="n">
        <f aca="false">COUNTIF(Images!J:J,"No*")</f>
        <v>4</v>
      </c>
    </row>
    <row r="23" customFormat="false" ht="15" hidden="false" customHeight="false" outlineLevel="0" collapsed="false">
      <c r="A23" s="6" t="s">
        <v>20</v>
      </c>
      <c r="B23" s="7" t="n">
        <f aca="false">COUNTA(Images!A2:A15)</f>
        <v>14</v>
      </c>
    </row>
  </sheetData>
  <mergeCells count="7">
    <mergeCell ref="B4:H4"/>
    <mergeCell ref="B6:H6"/>
    <mergeCell ref="B8:H8"/>
    <mergeCell ref="B10:H10"/>
    <mergeCell ref="B12:H12"/>
    <mergeCell ref="B14:H14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40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24"/>
    <col collapsed="false" customWidth="true" hidden="false" outlineLevel="0" max="11" min="10" style="0" width="12"/>
    <col collapsed="false" customWidth="true" hidden="false" outlineLevel="0" max="12" min="12" style="0" width="46"/>
  </cols>
  <sheetData>
    <row r="1" customFormat="false" ht="30" hidden="false" customHeight="true" outlineLevel="0" collapsed="false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  <c r="K1" s="8" t="s">
        <v>31</v>
      </c>
      <c r="L1" s="8" t="s">
        <v>32</v>
      </c>
    </row>
    <row r="2" customFormat="false" ht="128.35" hidden="false" customHeight="false" outlineLevel="0" collapsed="false">
      <c r="A2" s="9" t="s">
        <v>33</v>
      </c>
      <c r="B2" s="9" t="s">
        <v>34</v>
      </c>
      <c r="C2" s="9" t="s">
        <v>35</v>
      </c>
      <c r="D2" s="9" t="s">
        <v>36</v>
      </c>
      <c r="E2" s="9" t="s">
        <v>37</v>
      </c>
      <c r="F2" s="9" t="s">
        <v>38</v>
      </c>
      <c r="G2" s="9" t="s">
        <v>39</v>
      </c>
      <c r="H2" s="9" t="s">
        <v>40</v>
      </c>
      <c r="I2" s="9" t="s">
        <v>41</v>
      </c>
      <c r="J2" s="10" t="s">
        <v>42</v>
      </c>
      <c r="K2" s="10" t="s">
        <v>43</v>
      </c>
      <c r="L2" s="9"/>
    </row>
    <row r="3" customFormat="false" ht="141" hidden="false" customHeight="false" outlineLevel="0" collapsed="false">
      <c r="A3" s="11" t="s">
        <v>44</v>
      </c>
      <c r="B3" s="11" t="s">
        <v>34</v>
      </c>
      <c r="C3" s="11" t="s">
        <v>45</v>
      </c>
      <c r="D3" s="11" t="s">
        <v>46</v>
      </c>
      <c r="E3" s="11" t="s">
        <v>47</v>
      </c>
      <c r="F3" s="11" t="s">
        <v>48</v>
      </c>
      <c r="G3" s="11" t="s">
        <v>49</v>
      </c>
      <c r="H3" s="11" t="s">
        <v>50</v>
      </c>
      <c r="I3" s="11" t="s">
        <v>51</v>
      </c>
      <c r="J3" s="12" t="s">
        <v>52</v>
      </c>
      <c r="K3" s="12" t="s">
        <v>53</v>
      </c>
      <c r="L3" s="11"/>
    </row>
    <row r="4" customFormat="false" ht="128.35" hidden="false" customHeight="false" outlineLevel="0" collapsed="false">
      <c r="A4" s="9" t="s">
        <v>54</v>
      </c>
      <c r="B4" s="9" t="s">
        <v>34</v>
      </c>
      <c r="C4" s="9" t="s">
        <v>55</v>
      </c>
      <c r="D4" s="9" t="s">
        <v>36</v>
      </c>
      <c r="E4" s="9" t="s">
        <v>37</v>
      </c>
      <c r="F4" s="9" t="s">
        <v>56</v>
      </c>
      <c r="G4" s="9" t="s">
        <v>57</v>
      </c>
      <c r="H4" s="9" t="s">
        <v>58</v>
      </c>
      <c r="I4" s="9" t="s">
        <v>59</v>
      </c>
      <c r="J4" s="10" t="s">
        <v>42</v>
      </c>
      <c r="K4" s="10" t="s">
        <v>60</v>
      </c>
      <c r="L4" s="9"/>
    </row>
    <row r="5" customFormat="false" ht="102.95" hidden="false" customHeight="false" outlineLevel="0" collapsed="false">
      <c r="A5" s="11" t="s">
        <v>61</v>
      </c>
      <c r="B5" s="11" t="s">
        <v>34</v>
      </c>
      <c r="C5" s="11" t="s">
        <v>62</v>
      </c>
      <c r="D5" s="11" t="s">
        <v>63</v>
      </c>
      <c r="E5" s="11" t="s">
        <v>64</v>
      </c>
      <c r="F5" s="11" t="s">
        <v>65</v>
      </c>
      <c r="G5" s="11" t="s">
        <v>66</v>
      </c>
      <c r="H5" s="11" t="s">
        <v>67</v>
      </c>
      <c r="I5" s="11" t="s">
        <v>59</v>
      </c>
      <c r="J5" s="10" t="s">
        <v>42</v>
      </c>
      <c r="K5" s="10" t="s">
        <v>68</v>
      </c>
      <c r="L5" s="11"/>
    </row>
    <row r="6" customFormat="false" ht="153.7" hidden="false" customHeight="false" outlineLevel="0" collapsed="false">
      <c r="A6" s="9" t="s">
        <v>69</v>
      </c>
      <c r="B6" s="9" t="s">
        <v>34</v>
      </c>
      <c r="C6" s="9" t="s">
        <v>70</v>
      </c>
      <c r="D6" s="9" t="s">
        <v>71</v>
      </c>
      <c r="E6" s="9" t="s">
        <v>37</v>
      </c>
      <c r="F6" s="9" t="s">
        <v>72</v>
      </c>
      <c r="G6" s="9" t="s">
        <v>73</v>
      </c>
      <c r="H6" s="9" t="s">
        <v>74</v>
      </c>
      <c r="I6" s="9" t="s">
        <v>75</v>
      </c>
      <c r="J6" s="13" t="s">
        <v>76</v>
      </c>
      <c r="K6" s="13" t="s">
        <v>77</v>
      </c>
      <c r="L6" s="9"/>
    </row>
    <row r="7" customFormat="false" ht="115.65" hidden="false" customHeight="false" outlineLevel="0" collapsed="false">
      <c r="A7" s="11" t="s">
        <v>78</v>
      </c>
      <c r="B7" s="11" t="s">
        <v>34</v>
      </c>
      <c r="C7" s="11" t="s">
        <v>79</v>
      </c>
      <c r="D7" s="11" t="s">
        <v>80</v>
      </c>
      <c r="E7" s="11" t="s">
        <v>37</v>
      </c>
      <c r="F7" s="11" t="s">
        <v>81</v>
      </c>
      <c r="G7" s="11" t="s">
        <v>82</v>
      </c>
      <c r="H7" s="11" t="s">
        <v>83</v>
      </c>
      <c r="I7" s="11" t="s">
        <v>84</v>
      </c>
      <c r="J7" s="13" t="s">
        <v>76</v>
      </c>
      <c r="K7" s="13" t="s">
        <v>85</v>
      </c>
      <c r="L7" s="11"/>
    </row>
    <row r="8" customFormat="false" ht="153.7" hidden="false" customHeight="false" outlineLevel="0" collapsed="false">
      <c r="A8" s="9" t="s">
        <v>86</v>
      </c>
      <c r="B8" s="9" t="s">
        <v>34</v>
      </c>
      <c r="C8" s="9" t="s">
        <v>87</v>
      </c>
      <c r="D8" s="9" t="s">
        <v>88</v>
      </c>
      <c r="E8" s="9" t="s">
        <v>37</v>
      </c>
      <c r="F8" s="9" t="s">
        <v>89</v>
      </c>
      <c r="G8" s="9" t="s">
        <v>90</v>
      </c>
      <c r="H8" s="9" t="s">
        <v>91</v>
      </c>
      <c r="I8" s="9" t="s">
        <v>92</v>
      </c>
      <c r="J8" s="12" t="s">
        <v>52</v>
      </c>
      <c r="K8" s="12" t="s">
        <v>93</v>
      </c>
      <c r="L8" s="9"/>
    </row>
    <row r="9" customFormat="false" ht="128.35" hidden="false" customHeight="false" outlineLevel="0" collapsed="false">
      <c r="A9" s="11" t="s">
        <v>94</v>
      </c>
      <c r="B9" s="11" t="s">
        <v>34</v>
      </c>
      <c r="C9" s="11" t="s">
        <v>95</v>
      </c>
      <c r="D9" s="11" t="s">
        <v>36</v>
      </c>
      <c r="E9" s="11" t="s">
        <v>37</v>
      </c>
      <c r="F9" s="11" t="s">
        <v>96</v>
      </c>
      <c r="G9" s="11" t="s">
        <v>97</v>
      </c>
      <c r="H9" s="11" t="s">
        <v>98</v>
      </c>
      <c r="I9" s="11" t="s">
        <v>99</v>
      </c>
      <c r="J9" s="13" t="s">
        <v>76</v>
      </c>
      <c r="K9" s="13" t="s">
        <v>100</v>
      </c>
      <c r="L9" s="11"/>
    </row>
    <row r="10" customFormat="false" ht="115.65" hidden="false" customHeight="false" outlineLevel="0" collapsed="false">
      <c r="A10" s="9" t="s">
        <v>101</v>
      </c>
      <c r="B10" s="9" t="s">
        <v>34</v>
      </c>
      <c r="C10" s="9" t="s">
        <v>102</v>
      </c>
      <c r="D10" s="9" t="s">
        <v>103</v>
      </c>
      <c r="E10" s="9" t="s">
        <v>64</v>
      </c>
      <c r="F10" s="9" t="s">
        <v>104</v>
      </c>
      <c r="G10" s="9" t="s">
        <v>105</v>
      </c>
      <c r="H10" s="9" t="s">
        <v>106</v>
      </c>
      <c r="I10" s="9" t="s">
        <v>59</v>
      </c>
      <c r="J10" s="10" t="s">
        <v>42</v>
      </c>
      <c r="K10" s="10" t="s">
        <v>107</v>
      </c>
      <c r="L10" s="9"/>
    </row>
    <row r="11" customFormat="false" ht="153.7" hidden="false" customHeight="false" outlineLevel="0" collapsed="false">
      <c r="A11" s="11" t="s">
        <v>108</v>
      </c>
      <c r="B11" s="11" t="s">
        <v>109</v>
      </c>
      <c r="C11" s="11" t="s">
        <v>110</v>
      </c>
      <c r="D11" s="11" t="s">
        <v>111</v>
      </c>
      <c r="E11" s="11" t="s">
        <v>37</v>
      </c>
      <c r="F11" s="11" t="s">
        <v>112</v>
      </c>
      <c r="G11" s="11" t="s">
        <v>113</v>
      </c>
      <c r="H11" s="11" t="s">
        <v>114</v>
      </c>
      <c r="I11" s="11" t="s">
        <v>115</v>
      </c>
      <c r="J11" s="12" t="s">
        <v>52</v>
      </c>
      <c r="K11" s="12" t="s">
        <v>116</v>
      </c>
      <c r="L11" s="11"/>
    </row>
    <row r="12" customFormat="false" ht="141" hidden="false" customHeight="false" outlineLevel="0" collapsed="false">
      <c r="A12" s="9" t="s">
        <v>117</v>
      </c>
      <c r="B12" s="9" t="s">
        <v>109</v>
      </c>
      <c r="C12" s="9" t="s">
        <v>118</v>
      </c>
      <c r="D12" s="9" t="s">
        <v>111</v>
      </c>
      <c r="E12" s="9" t="s">
        <v>37</v>
      </c>
      <c r="F12" s="9" t="s">
        <v>119</v>
      </c>
      <c r="G12" s="9" t="s">
        <v>120</v>
      </c>
      <c r="H12" s="9" t="s">
        <v>121</v>
      </c>
      <c r="I12" s="9" t="s">
        <v>122</v>
      </c>
      <c r="J12" s="13" t="s">
        <v>76</v>
      </c>
      <c r="K12" s="13" t="s">
        <v>123</v>
      </c>
      <c r="L12" s="9"/>
    </row>
    <row r="13" customFormat="false" ht="115.65" hidden="false" customHeight="false" outlineLevel="0" collapsed="false">
      <c r="A13" s="11" t="s">
        <v>124</v>
      </c>
      <c r="B13" s="11" t="s">
        <v>109</v>
      </c>
      <c r="C13" s="11" t="s">
        <v>125</v>
      </c>
      <c r="D13" s="11" t="s">
        <v>111</v>
      </c>
      <c r="E13" s="11" t="s">
        <v>37</v>
      </c>
      <c r="F13" s="11" t="s">
        <v>126</v>
      </c>
      <c r="G13" s="11" t="s">
        <v>127</v>
      </c>
      <c r="H13" s="11" t="s">
        <v>128</v>
      </c>
      <c r="I13" s="11" t="s">
        <v>129</v>
      </c>
      <c r="J13" s="12" t="s">
        <v>52</v>
      </c>
      <c r="K13" s="12" t="s">
        <v>130</v>
      </c>
      <c r="L13" s="11"/>
    </row>
    <row r="14" customFormat="false" ht="141" hidden="false" customHeight="false" outlineLevel="0" collapsed="false">
      <c r="A14" s="9" t="s">
        <v>131</v>
      </c>
      <c r="B14" s="9" t="s">
        <v>109</v>
      </c>
      <c r="C14" s="9" t="s">
        <v>125</v>
      </c>
      <c r="D14" s="9" t="s">
        <v>111</v>
      </c>
      <c r="E14" s="9" t="s">
        <v>37</v>
      </c>
      <c r="F14" s="9" t="s">
        <v>132</v>
      </c>
      <c r="G14" s="9" t="s">
        <v>133</v>
      </c>
      <c r="H14" s="9" t="s">
        <v>134</v>
      </c>
      <c r="I14" s="9" t="s">
        <v>135</v>
      </c>
      <c r="J14" s="12" t="s">
        <v>52</v>
      </c>
      <c r="K14" s="12" t="s">
        <v>136</v>
      </c>
      <c r="L14" s="9"/>
    </row>
    <row r="15" customFormat="false" ht="128.35" hidden="false" customHeight="false" outlineLevel="0" collapsed="false">
      <c r="A15" s="11" t="s">
        <v>137</v>
      </c>
      <c r="B15" s="11" t="s">
        <v>109</v>
      </c>
      <c r="C15" s="11" t="s">
        <v>138</v>
      </c>
      <c r="D15" s="11" t="s">
        <v>111</v>
      </c>
      <c r="E15" s="11" t="s">
        <v>37</v>
      </c>
      <c r="F15" s="11" t="s">
        <v>139</v>
      </c>
      <c r="G15" s="11" t="s">
        <v>140</v>
      </c>
      <c r="H15" s="11" t="s">
        <v>141</v>
      </c>
      <c r="I15" s="11" t="s">
        <v>135</v>
      </c>
      <c r="J15" s="13" t="s">
        <v>76</v>
      </c>
      <c r="K15" s="13" t="s">
        <v>142</v>
      </c>
      <c r="L15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1" min="10" style="0" width="14"/>
    <col collapsed="false" customWidth="true" hidden="false" outlineLevel="0" max="12" min="12" style="0" width="46"/>
  </cols>
  <sheetData>
    <row r="1" customFormat="false" ht="30" hidden="false" customHeight="true" outlineLevel="0" collapsed="false">
      <c r="A1" s="8" t="s">
        <v>21</v>
      </c>
      <c r="B1" s="8" t="s">
        <v>22</v>
      </c>
      <c r="C1" s="8" t="s">
        <v>23</v>
      </c>
      <c r="D1" s="8" t="s">
        <v>143</v>
      </c>
      <c r="E1" s="8" t="s">
        <v>144</v>
      </c>
      <c r="F1" s="8" t="s">
        <v>145</v>
      </c>
      <c r="G1" s="8" t="s">
        <v>146</v>
      </c>
      <c r="H1" s="8" t="s">
        <v>147</v>
      </c>
      <c r="I1" s="8" t="s">
        <v>29</v>
      </c>
      <c r="J1" s="8" t="s">
        <v>148</v>
      </c>
      <c r="K1" s="8" t="s">
        <v>149</v>
      </c>
      <c r="L1" s="8" t="s">
        <v>32</v>
      </c>
    </row>
    <row r="2" customFormat="false" ht="23.85" hidden="false" customHeight="false" outlineLevel="0" collapsed="false">
      <c r="A2" s="9" t="s">
        <v>150</v>
      </c>
      <c r="B2" s="9" t="s">
        <v>151</v>
      </c>
      <c r="C2" s="9" t="s">
        <v>152</v>
      </c>
      <c r="D2" s="9" t="s">
        <v>153</v>
      </c>
      <c r="E2" s="9" t="s">
        <v>154</v>
      </c>
      <c r="F2" s="9" t="s">
        <v>155</v>
      </c>
      <c r="G2" s="9" t="s">
        <v>156</v>
      </c>
      <c r="H2" s="9" t="s">
        <v>157</v>
      </c>
      <c r="I2" s="9" t="s">
        <v>158</v>
      </c>
      <c r="J2" s="12" t="s">
        <v>52</v>
      </c>
      <c r="K2" s="10" t="s">
        <v>159</v>
      </c>
      <c r="L2" s="9" t="s">
        <v>160</v>
      </c>
    </row>
    <row r="3" customFormat="false" ht="23.85" hidden="false" customHeight="false" outlineLevel="0" collapsed="false">
      <c r="A3" s="11" t="s">
        <v>161</v>
      </c>
      <c r="B3" s="11" t="s">
        <v>151</v>
      </c>
      <c r="C3" s="11" t="s">
        <v>162</v>
      </c>
      <c r="D3" s="11" t="s">
        <v>153</v>
      </c>
      <c r="E3" s="11" t="s">
        <v>163</v>
      </c>
      <c r="F3" s="11" t="s">
        <v>164</v>
      </c>
      <c r="G3" s="11" t="s">
        <v>165</v>
      </c>
      <c r="H3" s="11" t="s">
        <v>166</v>
      </c>
      <c r="I3" s="11" t="s">
        <v>167</v>
      </c>
      <c r="J3" s="12" t="s">
        <v>52</v>
      </c>
      <c r="K3" s="10" t="s">
        <v>159</v>
      </c>
      <c r="L3" s="11" t="s">
        <v>168</v>
      </c>
    </row>
    <row r="4" customFormat="false" ht="23.85" hidden="false" customHeight="false" outlineLevel="0" collapsed="false">
      <c r="A4" s="9" t="s">
        <v>169</v>
      </c>
      <c r="B4" s="9" t="s">
        <v>151</v>
      </c>
      <c r="C4" s="9" t="s">
        <v>170</v>
      </c>
      <c r="D4" s="9" t="s">
        <v>153</v>
      </c>
      <c r="E4" s="9" t="s">
        <v>171</v>
      </c>
      <c r="F4" s="9" t="s">
        <v>172</v>
      </c>
      <c r="G4" s="9" t="s">
        <v>173</v>
      </c>
      <c r="H4" s="9" t="s">
        <v>174</v>
      </c>
      <c r="I4" s="9" t="s">
        <v>158</v>
      </c>
      <c r="J4" s="12" t="s">
        <v>52</v>
      </c>
      <c r="K4" s="10" t="s">
        <v>159</v>
      </c>
      <c r="L4" s="9" t="s">
        <v>175</v>
      </c>
    </row>
    <row r="5" customFormat="false" ht="23.85" hidden="false" customHeight="false" outlineLevel="0" collapsed="false">
      <c r="A5" s="11" t="s">
        <v>176</v>
      </c>
      <c r="B5" s="11" t="s">
        <v>151</v>
      </c>
      <c r="C5" s="11" t="s">
        <v>125</v>
      </c>
      <c r="D5" s="11" t="s">
        <v>153</v>
      </c>
      <c r="E5" s="11" t="s">
        <v>177</v>
      </c>
      <c r="F5" s="11" t="s">
        <v>178</v>
      </c>
      <c r="G5" s="11" t="s">
        <v>179</v>
      </c>
      <c r="H5" s="11" t="s">
        <v>180</v>
      </c>
      <c r="I5" s="11" t="s">
        <v>158</v>
      </c>
      <c r="J5" s="12" t="s">
        <v>52</v>
      </c>
      <c r="K5" s="10" t="s">
        <v>159</v>
      </c>
      <c r="L5" s="11" t="s">
        <v>181</v>
      </c>
    </row>
    <row r="6" customFormat="false" ht="23.85" hidden="false" customHeight="false" outlineLevel="0" collapsed="false">
      <c r="A6" s="9" t="s">
        <v>182</v>
      </c>
      <c r="B6" s="9" t="s">
        <v>151</v>
      </c>
      <c r="C6" s="9" t="s">
        <v>183</v>
      </c>
      <c r="D6" s="9" t="s">
        <v>153</v>
      </c>
      <c r="E6" s="9" t="s">
        <v>184</v>
      </c>
      <c r="F6" s="9" t="s">
        <v>185</v>
      </c>
      <c r="G6" s="9" t="s">
        <v>186</v>
      </c>
      <c r="H6" s="9" t="s">
        <v>187</v>
      </c>
      <c r="I6" s="9" t="s">
        <v>158</v>
      </c>
      <c r="J6" s="12" t="s">
        <v>52</v>
      </c>
      <c r="K6" s="10" t="s">
        <v>159</v>
      </c>
      <c r="L6" s="9" t="s">
        <v>188</v>
      </c>
    </row>
    <row r="7" customFormat="false" ht="23.85" hidden="false" customHeight="false" outlineLevel="0" collapsed="false">
      <c r="A7" s="11" t="s">
        <v>189</v>
      </c>
      <c r="B7" s="11" t="s">
        <v>151</v>
      </c>
      <c r="C7" s="11" t="s">
        <v>190</v>
      </c>
      <c r="D7" s="11" t="s">
        <v>153</v>
      </c>
      <c r="E7" s="11" t="s">
        <v>191</v>
      </c>
      <c r="F7" s="11" t="s">
        <v>192</v>
      </c>
      <c r="G7" s="11" t="s">
        <v>193</v>
      </c>
      <c r="H7" s="11" t="s">
        <v>194</v>
      </c>
      <c r="I7" s="11" t="s">
        <v>195</v>
      </c>
      <c r="J7" s="12" t="s">
        <v>52</v>
      </c>
      <c r="K7" s="10" t="s">
        <v>159</v>
      </c>
      <c r="L7" s="11" t="s">
        <v>196</v>
      </c>
    </row>
    <row r="8" customFormat="false" ht="23.85" hidden="false" customHeight="false" outlineLevel="0" collapsed="false">
      <c r="A8" s="9" t="s">
        <v>197</v>
      </c>
      <c r="B8" s="9" t="s">
        <v>151</v>
      </c>
      <c r="C8" s="9" t="s">
        <v>198</v>
      </c>
      <c r="D8" s="9" t="s">
        <v>153</v>
      </c>
      <c r="E8" s="9" t="s">
        <v>199</v>
      </c>
      <c r="F8" s="9" t="s">
        <v>200</v>
      </c>
      <c r="G8" s="9" t="s">
        <v>201</v>
      </c>
      <c r="H8" s="9" t="s">
        <v>202</v>
      </c>
      <c r="I8" s="9" t="s">
        <v>203</v>
      </c>
      <c r="J8" s="12" t="s">
        <v>52</v>
      </c>
      <c r="K8" s="10" t="s">
        <v>159</v>
      </c>
      <c r="L8" s="9" t="s">
        <v>204</v>
      </c>
    </row>
    <row r="9" customFormat="false" ht="23.85" hidden="false" customHeight="false" outlineLevel="0" collapsed="false">
      <c r="A9" s="11" t="s">
        <v>205</v>
      </c>
      <c r="B9" s="11" t="s">
        <v>151</v>
      </c>
      <c r="C9" s="11" t="s">
        <v>206</v>
      </c>
      <c r="D9" s="11" t="s">
        <v>153</v>
      </c>
      <c r="E9" s="11" t="s">
        <v>207</v>
      </c>
      <c r="F9" s="11" t="s">
        <v>208</v>
      </c>
      <c r="G9" s="11" t="s">
        <v>209</v>
      </c>
      <c r="H9" s="11" t="s">
        <v>210</v>
      </c>
      <c r="I9" s="11" t="s">
        <v>158</v>
      </c>
      <c r="J9" s="12" t="s">
        <v>52</v>
      </c>
      <c r="K9" s="10" t="s">
        <v>159</v>
      </c>
      <c r="L9" s="11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2026-05-21T13:04:01Z</dcterms:created>
  <dc:creator>openpyxl</dc:creator>
  <dc:description/>
  <dc:language>en-US</dc:language>
  <cp:lastModifiedBy/>
  <dcterms:modified xsi:type="dcterms:W3CDTF">2026-05-21T13:04:01Z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